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hông tin khóa" sheetId="2" state="visible" r:id="rId2"/>
    <sheet xmlns:r="http://schemas.openxmlformats.org/officeDocument/2006/relationships" name="Video" sheetId="3" state="visible" r:id="rId3"/>
    <sheet xmlns:r="http://schemas.openxmlformats.org/officeDocument/2006/relationships" name="Câu hỏ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6315E"/>
      <sz val="14"/>
    </font>
    <font>
      <name val="Arial"/>
      <b val="1"/>
      <sz val="10"/>
    </font>
    <font>
      <name val="Arial"/>
      <b val="1"/>
      <color rgb="0016315E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636468"/>
      <sz val="9"/>
    </font>
    <font>
      <name val="Arial"/>
      <b val="1"/>
      <color rgb="0016315E"/>
      <sz val="10"/>
    </font>
    <font>
      <name val="Arial"/>
      <i val="1"/>
      <color rgb="00636468"/>
      <sz val="10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6315E"/>
      </patternFill>
    </fill>
  </fills>
  <borders count="2">
    <border>
      <left/>
      <right/>
      <top/>
      <bottom/>
      <diagonal/>
    </border>
    <border>
      <left style="thin">
        <color rgb="00C4CAD6"/>
      </left>
      <right style="thin">
        <color rgb="00C4CAD6"/>
      </right>
      <top style="thin">
        <color rgb="00C4CAD6"/>
      </top>
      <bottom style="thin">
        <color rgb="00C4CA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49" fontId="8" fillId="0" borderId="0" pivotButton="0" quotePrefix="0" xfId="0"/>
    <xf numFmtId="49" fontId="4" fillId="2" borderId="1" applyAlignment="1" pivotButton="0" quotePrefix="0" xfId="0">
      <alignment vertical="top" wrapText="1"/>
    </xf>
    <xf numFmtId="49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L&amp;OD</author>
  </authors>
  <commentList>
    <comment ref="C1" authorId="0" shapeId="0">
      <text>
        <t>Định dạng phút:giây, ví dụ 01:30. Chỉ điền cho POPUP.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FILE NHẬP LIỆU KHÓA HỌC E-LEARNING (SCORM) – COTECCONS L&amp;OD</t>
        </is>
      </c>
    </row>
    <row r="3">
      <c r="A3" s="2" t="inlineStr">
        <is>
          <t>Cách dùng</t>
        </is>
      </c>
      <c r="B3" s="3" t="inlineStr"/>
    </row>
    <row r="4">
      <c r="A4" s="4" t="inlineStr">
        <is>
          <t>1</t>
        </is>
      </c>
      <c r="B4" s="3" t="inlineStr">
        <is>
          <t>Mỗi khóa học = 1 file Excel này. Đặt tên file theo mã khóa, ví dụ: ATLD-001.xlsx</t>
        </is>
      </c>
    </row>
    <row r="5">
      <c r="A5" s="5" t="inlineStr">
        <is>
          <t>Đóng gói</t>
        </is>
      </c>
      <c r="B5" s="3" t="inlineStr">
        <is>
          <t>Điền xong, mở https://ctd-academy.github.io/scorm/ bằng Chrome hoặc Edge, chọn thư mục khóa (để file Excel này cùng thư mục với video). Thứ tự nên làm: điền Thông tin khóa + Video → đặt pop-up trên web, copy dán vào sheet Câu hỏi → viết câu hỏi → lưu, bấm Kiểm tra lại → Xuất gói SCORM</t>
        </is>
      </c>
    </row>
    <row r="6">
      <c r="A6" s="4" t="inlineStr">
        <is>
          <t>2</t>
        </is>
      </c>
      <c r="B6" s="3" t="inlineStr">
        <is>
          <t>Ô nền vàng nhạt là ô cần điền. Không đổi tên sheet, không đổi tiêu đề cột.</t>
        </is>
      </c>
    </row>
    <row r="7">
      <c r="A7" s="4" t="inlineStr">
        <is>
          <t>3</t>
        </is>
      </c>
      <c r="B7" s="3" t="inlineStr">
        <is>
          <t>Sheet 'Thông tin khóa': thông tin chung và luật bài kiểm tra của khóa.</t>
        </is>
      </c>
    </row>
    <row r="8">
      <c r="A8" s="4" t="inlineStr">
        <is>
          <t>4</t>
        </is>
      </c>
      <c r="B8" s="3" t="inlineStr">
        <is>
          <t>Sheet 'Video': mỗi dòng là 1 bài (1 video), theo đúng thứ tự học. Tên file phải trùng tên file video trong thư mục khóa.</t>
        </is>
      </c>
    </row>
    <row r="9">
      <c r="A9" s="4" t="inlineStr">
        <is>
          <t>5</t>
        </is>
      </c>
      <c r="B9" s="3" t="inlineStr">
        <is>
          <t>Sheet 'Câu hỏi': gồm cả câu hỏi pop-up (giữa video) và câu hỏi bài kiểm tra cuối khóa.</t>
        </is>
      </c>
    </row>
    <row r="10">
      <c r="A10" s="4" t="inlineStr">
        <is>
          <t>6</t>
        </is>
      </c>
      <c r="B10" s="3" t="inlineStr">
        <is>
          <t>Dòng 2 ở mỗi sheet (chữ nghiêng) là VÍ DỤ. Xóa hoặc ghi đè khi nhập khóa thật.</t>
        </is>
      </c>
    </row>
    <row r="11">
      <c r="A11" s="5" t="inlineStr"/>
      <c r="B11" s="3" t="inlineStr"/>
    </row>
    <row r="12">
      <c r="A12" s="2" t="inlineStr">
        <is>
          <t>Luật chơi cố định</t>
        </is>
      </c>
      <c r="B12" s="3" t="inlineStr"/>
    </row>
    <row r="13">
      <c r="A13" s="4" t="inlineStr">
        <is>
          <t>•</t>
        </is>
      </c>
      <c r="B13" s="3" t="inlineStr">
        <is>
          <t>Học tuần tự: bài sau chỉ mở khi xem xong bài trước.</t>
        </is>
      </c>
    </row>
    <row r="14">
      <c r="A14" s="4" t="inlineStr">
        <is>
          <t>•</t>
        </is>
      </c>
      <c r="B14" s="3" t="inlineStr">
        <is>
          <t>Video chỉ tua lại phần đã xem, không tua tới. Tốc độ tối đa 2x. Rời trang/chuyển tab thì video tự dừng.</t>
        </is>
      </c>
    </row>
    <row r="15">
      <c r="A15" s="4" t="inlineStr">
        <is>
          <t>•</t>
        </is>
      </c>
      <c r="B15" s="3" t="inlineStr">
        <is>
          <t>Pop-up không tính điểm. Trả lời sai thì phải xem lại đoạn video trước câu hỏi (từ pop-up trước đó, hoặc từ đầu video).</t>
        </is>
      </c>
    </row>
    <row r="16">
      <c r="A16" s="4" t="inlineStr">
        <is>
          <t>•</t>
        </is>
      </c>
      <c r="B16" s="3" t="inlineStr">
        <is>
          <t>Bài kiểm tra chỉ mở khi đã xem hết video. Khóa không có câu hỏi CUỐI KHÓA sẽ hoàn thành khi xem hết video.</t>
        </is>
      </c>
    </row>
    <row r="17">
      <c r="A17" s="4" t="inlineStr">
        <is>
          <t>•</t>
        </is>
      </c>
      <c r="B17" s="3" t="inlineStr">
        <is>
          <t>Hết lượt làm bài: bài kiểm tra bị khóa, học viên thấy nội dung liên hệ L&amp;OD. L&amp;OD đăng ký lại cho học viên trên Workday.</t>
        </is>
      </c>
    </row>
    <row r="18">
      <c r="A18" s="5" t="inlineStr"/>
      <c r="B18" s="3" t="inlineStr"/>
    </row>
    <row r="19">
      <c r="A19" s="2" t="inlineStr">
        <is>
          <t>Quy ước nhập câu hỏi</t>
        </is>
      </c>
      <c r="B19" s="3" t="inlineStr"/>
    </row>
    <row r="20">
      <c r="A20" s="5" t="inlineStr">
        <is>
          <t>Loại</t>
        </is>
      </c>
      <c r="B20" s="3" t="inlineStr">
        <is>
          <t>POPUP = câu hỏi giữa video · CUOI KHOA = câu hỏi bài kiểm tra cuối khóa</t>
        </is>
      </c>
    </row>
    <row r="21">
      <c r="A21" s="5" t="inlineStr">
        <is>
          <t>Video số</t>
        </is>
      </c>
      <c r="B21" s="3" t="inlineStr">
        <is>
          <t>Chỉ điền cho POPUP: số thứ tự bài (cột STT ở sheet Video)</t>
        </is>
      </c>
    </row>
    <row r="22">
      <c r="A22" s="5" t="inlineStr">
        <is>
          <t>Mốc thời gian</t>
        </is>
      </c>
      <c r="B22" s="3" t="inlineStr">
        <is>
          <t>Chỉ điền cho POPUP: phút:giây trong video, ví dụ 01:30. Nên đặt cách nhau ít nhất 1 phút</t>
        </is>
      </c>
    </row>
    <row r="23">
      <c r="A23" s="5" t="inlineStr">
        <is>
          <t>Phương án</t>
        </is>
      </c>
      <c r="B23" s="3" t="inlineStr">
        <is>
          <t>Tối thiểu A, B. C và D có thể bỏ trống</t>
        </is>
      </c>
    </row>
    <row r="24">
      <c r="A24" s="5" t="inlineStr">
        <is>
          <t>Đáp án đúng</t>
        </is>
      </c>
      <c r="B24" s="3" t="inlineStr">
        <is>
          <t>Một chữ cái: A, B, C hoặc D</t>
        </is>
      </c>
    </row>
    <row r="25">
      <c r="A25" s="5" t="inlineStr">
        <is>
          <t>Giải thích</t>
        </is>
      </c>
      <c r="B25" s="3" t="inlineStr">
        <is>
          <t>Không bắt buộc. Hiện sau khi trả lời pop-up đúng, và khi xem lại bài kiểm tra (nếu bật hiện đáp án)</t>
        </is>
      </c>
    </row>
    <row r="26">
      <c r="A26" s="5" t="inlineStr">
        <is>
          <t>Xáo phương án</t>
        </is>
      </c>
      <c r="B26" s="3" t="inlineStr">
        <is>
          <t>Thứ tự phương án được xáo mỗi lần thi. Dùng được 'Tất cả đều đúng', tránh viết 'Cả A và B đều đúng'</t>
        </is>
      </c>
    </row>
    <row r="27">
      <c r="A27" s="5" t="inlineStr"/>
      <c r="B27" s="3" t="inlineStr"/>
    </row>
    <row r="28">
      <c r="A28" s="2" t="inlineStr">
        <is>
          <t>Cài đặt bài kiểm tra (sheet 'Thông tin khóa')</t>
        </is>
      </c>
      <c r="B28" s="3" t="inlineStr"/>
    </row>
    <row r="29">
      <c r="A29" s="5" t="inlineStr">
        <is>
          <t>Gợi ý</t>
        </is>
      </c>
      <c r="B29" s="3" t="inlineStr">
        <is>
          <t>Điểm đạt 80% · 3 lượt · rút 15–20 câu từ ngân hàng 20–30 câu để mỗi lượt có đề khác nhau</t>
        </is>
      </c>
    </row>
    <row r="30">
      <c r="A30" s="5" t="inlineStr">
        <is>
          <t>Gợi ý</t>
        </is>
      </c>
      <c r="B30" s="3" t="inlineStr">
        <is>
          <t>Thời gian làm bài: khoảng 1–1,5 phút cho mỗi câu. Hiện đáp án: nên chọn 'Không' để người rớt không học thuộc đáp án cho lượt sau</t>
        </is>
      </c>
    </row>
    <row r="31">
      <c r="A31" s="5" t="inlineStr"/>
      <c r="B31" s="3" t="inlineStr"/>
    </row>
    <row r="32">
      <c r="A32" s="2" t="inlineStr">
        <is>
          <t>Cách viết câu hỏi pop-up</t>
        </is>
      </c>
      <c r="B32" s="3" t="inlineStr"/>
    </row>
    <row r="33">
      <c r="A33" s="4" t="inlineStr">
        <is>
          <t>•</t>
        </is>
      </c>
      <c r="B33" s="3" t="inlineStr">
        <is>
          <t>Mục đích là giữ học viên tập trung, không đánh đố. Hỏi đúng điều vừa nói trong 1–2 phút trước mốc</t>
        </is>
      </c>
    </row>
    <row r="34">
      <c r="A34" s="4" t="inlineStr">
        <is>
          <t>•</t>
        </is>
      </c>
      <c r="B34" s="3" t="inlineStr">
        <is>
          <t>Đặt mốc ngay sau khi ý chính kết thúc. Khoảng 1 câu cho mỗi 3–5 phút video, cách nhau ít nhất 1 phút</t>
        </is>
      </c>
    </row>
    <row r="35">
      <c r="A35" s="4" t="inlineStr">
        <is>
          <t>•</t>
        </is>
      </c>
      <c r="B35" s="3" t="inlineStr">
        <is>
          <t>Không đặt trong 30 giây đầu hoặc ở cuối video. 2–3 phương án ngắn là đủ. Nên có Giải thích</t>
        </is>
      </c>
    </row>
    <row r="36">
      <c r="A36" s="4" t="inlineStr">
        <is>
          <t>•</t>
        </is>
      </c>
      <c r="B36" s="3" t="inlineStr">
        <is>
          <t>Không dùng lại câu hỏi cuối khóa làm pop-up</t>
        </is>
      </c>
    </row>
    <row r="38">
      <c r="A38" s="5" t="inlineStr">
        <is>
          <t>Ô cần điền</t>
        </is>
      </c>
      <c r="B38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</cols>
  <sheetData>
    <row r="1">
      <c r="A1" s="7" t="inlineStr">
        <is>
          <t>Mục</t>
        </is>
      </c>
      <c r="B1" s="7" t="inlineStr">
        <is>
          <t>Giá trị</t>
        </is>
      </c>
      <c r="C1" s="7" t="inlineStr">
        <is>
          <t>Ghi chú</t>
        </is>
      </c>
    </row>
    <row r="2">
      <c r="A2" s="5" t="inlineStr">
        <is>
          <t>Mã khóa</t>
        </is>
      </c>
      <c r="B2" s="8" t="inlineStr">
        <is>
          <t>ATLD-DEMO</t>
        </is>
      </c>
      <c r="C2" s="9" t="inlineStr">
        <is>
          <t>Không dấu, không khoảng trắng. Dùng làm tên file SCORM</t>
        </is>
      </c>
    </row>
    <row r="3">
      <c r="A3" s="5" t="inlineStr">
        <is>
          <t>Tên khóa</t>
        </is>
      </c>
      <c r="B3" s="8" t="inlineStr">
        <is>
          <t>An toàn lao động cơ bản (Demo)</t>
        </is>
      </c>
      <c r="C3" s="9" t="inlineStr">
        <is>
          <t>Hiển thị trên đầu trang khóa học</t>
        </is>
      </c>
    </row>
    <row r="4">
      <c r="A4" s="5" t="inlineStr">
        <is>
          <t>Mô tả ngắn</t>
        </is>
      </c>
      <c r="B4" s="8" t="inlineStr">
        <is>
          <t>Khóa demo minh họa các tính năng của Coteccons SCORM Player. Nội dung chỉ mang tính minh họa.</t>
        </is>
      </c>
      <c r="C4" s="9" t="inlineStr">
        <is>
          <t>Dùng khi tạo khóa trên Workday</t>
        </is>
      </c>
    </row>
    <row r="5">
      <c r="A5" s="5" t="inlineStr">
        <is>
          <t>Điểm đạt (%)</t>
        </is>
      </c>
      <c r="B5" s="8" t="n">
        <v>80</v>
      </c>
      <c r="C5" s="9" t="inlineStr">
        <is>
          <t>Từ 0 đến 100</t>
        </is>
      </c>
    </row>
    <row r="6">
      <c r="A6" s="5" t="inlineStr">
        <is>
          <t>Số lượt làm bài</t>
        </is>
      </c>
      <c r="B6" s="8" t="n">
        <v>3</v>
      </c>
      <c r="C6" s="9" t="inlineStr">
        <is>
          <t>Số nguyên ≥ 1</t>
        </is>
      </c>
    </row>
    <row r="7">
      <c r="A7" s="5" t="inlineStr">
        <is>
          <t>Số câu mỗi lần thi</t>
        </is>
      </c>
      <c r="B7" s="8" t="n">
        <v>5</v>
      </c>
      <c r="C7" s="9" t="inlineStr">
        <is>
          <t>Rút ngẫu nhiên từ ngân hàng câu hỏi. 0 = dùng tất cả</t>
        </is>
      </c>
    </row>
    <row r="8">
      <c r="A8" s="5" t="inlineStr">
        <is>
          <t>Thời gian làm bài (phút)</t>
        </is>
      </c>
      <c r="B8" s="8" t="n">
        <v>10</v>
      </c>
      <c r="C8" s="9" t="inlineStr">
        <is>
          <t>0 = không giới hạn</t>
        </is>
      </c>
    </row>
    <row r="9">
      <c r="A9" s="5" t="inlineStr">
        <is>
          <t>Hiện đáp án sau khi nộp</t>
        </is>
      </c>
      <c r="B9" s="8" t="inlineStr">
        <is>
          <t>Có</t>
        </is>
      </c>
      <c r="C9" s="9" t="inlineStr">
        <is>
          <t>Có / Không</t>
        </is>
      </c>
    </row>
    <row r="10">
      <c r="A10" s="5" t="inlineStr">
        <is>
          <t>Nội dung liên hệ khi hết lượt</t>
        </is>
      </c>
      <c r="B10" s="8" t="inlineStr">
        <is>
          <t>Bạn đã dùng hết lượt làm bài. Vui lòng liên hệ L&amp;OD: Mr. Minh (minhvt02@coteccons.vn) hoặc cta@coteccons.vn để được hỗ trợ đăng ký lại.</t>
        </is>
      </c>
      <c r="C10" s="9" t="inlineStr">
        <is>
          <t>Học viên thấy nội dung này khi hết lượt</t>
        </is>
      </c>
    </row>
    <row r="11">
      <c r="A11" s="5" t="inlineStr">
        <is>
          <t>File logo (tùy chọn)</t>
        </is>
      </c>
      <c r="B11" s="8" t="inlineStr"/>
      <c r="C11" s="9" t="inlineStr">
        <is>
          <t>Tên file logo đặt trong thư mục khóa. Để trống = dùng logo Coteccons trắng có sẵn</t>
        </is>
      </c>
    </row>
    <row r="13">
      <c r="A13" s="10" t="inlineStr">
        <is>
          <t>Tự động tính (không sửa)</t>
        </is>
      </c>
    </row>
    <row r="14">
      <c r="A14" s="4" t="inlineStr">
        <is>
          <t>Số video</t>
        </is>
      </c>
      <c r="B14" s="4">
        <f>COUNTA(Video!C3:C500)</f>
        <v/>
      </c>
    </row>
    <row r="15">
      <c r="A15" s="4" t="inlineStr">
        <is>
          <t>Số câu pop-up</t>
        </is>
      </c>
      <c r="B15" s="4">
        <f>COUNTIF('Câu hỏi'!A3:A2000,"POPUP")</f>
        <v/>
      </c>
    </row>
    <row r="16">
      <c r="A16" s="4" t="inlineStr">
        <is>
          <t>Số câu trong ngân hàng đề</t>
        </is>
      </c>
      <c r="B16" s="4">
        <f>COUNTIF('Câu hỏi'!A3:A2000,"CUOI KHOA")</f>
        <v/>
      </c>
    </row>
    <row r="17">
      <c r="A17" s="4" t="inlineStr">
        <is>
          <t>Kiểm tra số câu mỗi lần thi</t>
        </is>
      </c>
      <c r="B17" s="4">
        <f>IF(B7&gt;B16,"Lỗi: nhiều hơn số câu trong ngân hàng","OK")</f>
        <v/>
      </c>
    </row>
    <row r="18">
      <c r="A18" s="11" t="inlineStr">
        <is>
          <t>Lưu ý: số liệu tự động chỉ đếm từ dòng 3 trở đi (dòng 2 là ví dụ ở sheet Video và Câu hỏi).</t>
        </is>
      </c>
    </row>
  </sheetData>
  <dataValidations count="5">
    <dataValidation sqref="B9" showDropDown="0" showInputMessage="0" showErrorMessage="0" allowBlank="0" type="list">
      <formula1>"Có,Không"</formula1>
    </dataValidation>
    <dataValidation sqref="B5" showDropDown="0" showInputMessage="0" showErrorMessage="1" allowBlank="0" errorTitle="Giá trị không hợp lệ" error="Nhập số nguyên từ 0 đến 100" type="whole" operator="between">
      <formula1>0</formula1>
      <formula2>100</formula2>
    </dataValidation>
    <dataValidation sqref="B6" showDropDown="0" showInputMessage="0" showErrorMessage="1" allowBlank="0" errorTitle="Giá trị không hợp lệ" error="Nhập số nguyên từ 1 đến 20" type="whole" operator="between">
      <formula1>1</formula1>
      <formula2>20</formula2>
    </dataValidation>
    <dataValidation sqref="B7" showDropDown="0" showInputMessage="0" showErrorMessage="1" allowBlank="0" errorTitle="Giá trị không hợp lệ" error="Nhập số nguyên từ 0 đến 500" type="whole" operator="between">
      <formula1>0</formula1>
      <formula2>500</formula2>
    </dataValidation>
    <dataValidation sqref="B8" showDropDown="0" showInputMessage="0" showErrorMessage="1" allowBlank="0" errorTitle="Giá trị không hợp lệ" error="Nhập số nguyên từ 0 đến 600" type="whole" operator="between">
      <formula1>0</formula1>
      <formula2>600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34" customWidth="1" min="3" max="3"/>
    <col width="40" customWidth="1" min="4" max="4"/>
  </cols>
  <sheetData>
    <row r="1">
      <c r="A1" s="7" t="inlineStr">
        <is>
          <t>STT</t>
        </is>
      </c>
      <c r="B1" s="7" t="inlineStr">
        <is>
          <t>Tên bài</t>
        </is>
      </c>
      <c r="C1" s="7" t="inlineStr">
        <is>
          <t>Tên file video</t>
        </is>
      </c>
      <c r="D1" s="7" t="inlineStr">
        <is>
          <t>Ghi chú</t>
        </is>
      </c>
    </row>
    <row r="2">
      <c r="A2" s="12" t="inlineStr">
        <is>
          <t>(Ví dụ)</t>
        </is>
      </c>
      <c r="B2" s="12" t="inlineStr">
        <is>
          <t>Giới thiệu khóa học</t>
        </is>
      </c>
      <c r="C2" s="12" t="inlineStr">
        <is>
          <t>01_gioi-thieu.mp4</t>
        </is>
      </c>
      <c r="D2" s="12" t="inlineStr">
        <is>
          <t>Dòng ví dụ – nhập dữ liệu thật từ dòng 3</t>
        </is>
      </c>
    </row>
    <row r="3">
      <c r="A3" s="13" t="n">
        <v>1</v>
      </c>
      <c r="B3" s="13" t="inlineStr">
        <is>
          <t>Vì sao an toàn là trên hết</t>
        </is>
      </c>
      <c r="C3" s="13" t="inlineStr">
        <is>
          <t>01_vi-sao-an-toan.mp4</t>
        </is>
      </c>
      <c r="D3" s="13" t="inlineStr"/>
    </row>
    <row r="4">
      <c r="A4" s="13" t="n">
        <v>2</v>
      </c>
      <c r="B4" s="13" t="inlineStr">
        <is>
          <t>Trang bị bảo hộ cá nhân (PPE)</t>
        </is>
      </c>
      <c r="C4" s="13" t="inlineStr">
        <is>
          <t>02_bao-ho-ca-nhan.mp4</t>
        </is>
      </c>
      <c r="D4" s="13" t="inlineStr"/>
    </row>
    <row r="5">
      <c r="A5" s="13" t="n">
        <v>3</v>
      </c>
      <c r="B5" s="13" t="inlineStr">
        <is>
          <t>Nhận diện mối nguy tại công trường</t>
        </is>
      </c>
      <c r="C5" s="13" t="inlineStr">
        <is>
          <t>03_nhan-dien-moi-nguy.mp4</t>
        </is>
      </c>
      <c r="D5" s="13" t="inlineStr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6" t="n"/>
      <c r="B46" s="6" t="n"/>
      <c r="C46" s="6" t="n"/>
      <c r="D46" s="6" t="n"/>
    </row>
    <row r="47">
      <c r="A47" s="6" t="n"/>
      <c r="B47" s="6" t="n"/>
      <c r="C47" s="6" t="n"/>
      <c r="D47" s="6" t="n"/>
    </row>
    <row r="48">
      <c r="A48" s="6" t="n"/>
      <c r="B48" s="6" t="n"/>
      <c r="C48" s="6" t="n"/>
      <c r="D48" s="6" t="n"/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  <row r="52">
      <c r="A52" s="6" t="n"/>
      <c r="B52" s="6" t="n"/>
      <c r="C52" s="6" t="n"/>
      <c r="D52" s="6" t="n"/>
    </row>
    <row r="53">
      <c r="A53" s="6" t="n"/>
      <c r="B53" s="6" t="n"/>
      <c r="C53" s="6" t="n"/>
      <c r="D53" s="6" t="n"/>
    </row>
    <row r="54">
      <c r="A54" s="6" t="n"/>
      <c r="B54" s="6" t="n"/>
      <c r="C54" s="6" t="n"/>
      <c r="D54" s="6" t="n"/>
    </row>
    <row r="55">
      <c r="A55" s="6" t="n"/>
      <c r="B55" s="6" t="n"/>
      <c r="C55" s="6" t="n"/>
      <c r="D55" s="6" t="n"/>
    </row>
    <row r="56">
      <c r="A56" s="6" t="n"/>
      <c r="B56" s="6" t="n"/>
      <c r="C56" s="6" t="n"/>
      <c r="D56" s="6" t="n"/>
    </row>
    <row r="57">
      <c r="A57" s="6" t="n"/>
      <c r="B57" s="6" t="n"/>
      <c r="C57" s="6" t="n"/>
      <c r="D57" s="6" t="n"/>
    </row>
    <row r="58">
      <c r="A58" s="6" t="n"/>
      <c r="B58" s="6" t="n"/>
      <c r="C58" s="6" t="n"/>
      <c r="D58" s="6" t="n"/>
    </row>
    <row r="59">
      <c r="A59" s="6" t="n"/>
      <c r="B59" s="6" t="n"/>
      <c r="C59" s="6" t="n"/>
      <c r="D5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50" customWidth="1" min="4" max="4"/>
    <col width="26" customWidth="1" min="5" max="5"/>
    <col width="26" customWidth="1" min="6" max="6"/>
    <col width="26" customWidth="1" min="7" max="7"/>
    <col width="26" customWidth="1" min="8" max="8"/>
    <col width="10" customWidth="1" min="9" max="9"/>
    <col width="40" customWidth="1" min="10" max="10"/>
  </cols>
  <sheetData>
    <row r="1">
      <c r="A1" s="7" t="inlineStr">
        <is>
          <t>Loại</t>
        </is>
      </c>
      <c r="B1" s="7" t="inlineStr">
        <is>
          <t>Video số</t>
        </is>
      </c>
      <c r="C1" s="7" t="inlineStr">
        <is>
          <t>Mốc thời gian (mm:ss)</t>
        </is>
      </c>
      <c r="D1" s="7" t="inlineStr">
        <is>
          <t>Câu hỏi</t>
        </is>
      </c>
      <c r="E1" s="7" t="inlineStr">
        <is>
          <t>A</t>
        </is>
      </c>
      <c r="F1" s="7" t="inlineStr">
        <is>
          <t>B</t>
        </is>
      </c>
      <c r="G1" s="7" t="inlineStr">
        <is>
          <t>C</t>
        </is>
      </c>
      <c r="H1" s="7" t="inlineStr">
        <is>
          <t>D</t>
        </is>
      </c>
      <c r="I1" s="7" t="inlineStr">
        <is>
          <t>Đáp án đúng</t>
        </is>
      </c>
      <c r="J1" s="7" t="inlineStr">
        <is>
          <t>Giải thích</t>
        </is>
      </c>
    </row>
    <row r="2">
      <c r="A2" s="12" t="inlineStr">
        <is>
          <t>POPUP</t>
        </is>
      </c>
      <c r="B2" s="12" t="n">
        <v>1</v>
      </c>
      <c r="C2" s="14" t="inlineStr">
        <is>
          <t>00:20</t>
        </is>
      </c>
      <c r="D2" s="12" t="inlineStr">
        <is>
          <t>(Ví dụ) Câu hỏi pop-up ở giây 20 của video 1?</t>
        </is>
      </c>
      <c r="E2" s="12" t="inlineStr">
        <is>
          <t>Phương án A</t>
        </is>
      </c>
      <c r="F2" s="12" t="inlineStr">
        <is>
          <t>Phương án B</t>
        </is>
      </c>
      <c r="G2" s="12" t="inlineStr"/>
      <c r="H2" s="12" t="inlineStr"/>
      <c r="I2" s="12" t="inlineStr">
        <is>
          <t>A</t>
        </is>
      </c>
      <c r="J2" s="12" t="inlineStr">
        <is>
          <t>Dòng ví dụ – nhập dữ liệu thật từ dòng 3</t>
        </is>
      </c>
    </row>
    <row r="3">
      <c r="A3" s="8" t="inlineStr">
        <is>
          <t>POPUP</t>
        </is>
      </c>
      <c r="B3" s="8" t="n">
        <v>1</v>
      </c>
      <c r="C3" s="15" t="inlineStr">
        <is>
          <t>00:15</t>
        </is>
      </c>
      <c r="D3" s="8" t="inlineStr">
        <is>
          <t>Theo video, điều gì được đặt lên hàng đầu tại công trường?</t>
        </is>
      </c>
      <c r="E3" s="8" t="inlineStr">
        <is>
          <t>Tiến độ</t>
        </is>
      </c>
      <c r="F3" s="8" t="inlineStr">
        <is>
          <t>An toàn</t>
        </is>
      </c>
      <c r="G3" s="8" t="inlineStr">
        <is>
          <t>Chi phí</t>
        </is>
      </c>
      <c r="H3" s="8" t="inlineStr"/>
      <c r="I3" s="8" t="inlineStr">
        <is>
          <t>B</t>
        </is>
      </c>
      <c r="J3" s="8" t="inlineStr">
        <is>
          <t>An toàn luôn được ưu tiên trước tiến độ và chi phí.</t>
        </is>
      </c>
    </row>
    <row r="4">
      <c r="A4" s="8" t="inlineStr">
        <is>
          <t>POPUP</t>
        </is>
      </c>
      <c r="B4" s="8" t="n">
        <v>1</v>
      </c>
      <c r="C4" s="15" t="inlineStr">
        <is>
          <t>00:40</t>
        </is>
      </c>
      <c r="D4" s="8" t="inlineStr">
        <is>
          <t>Ai có trách nhiệm về an toàn tại công trường?</t>
        </is>
      </c>
      <c r="E4" s="8" t="inlineStr">
        <is>
          <t>Chỉ cán bộ an toàn</t>
        </is>
      </c>
      <c r="F4" s="8" t="inlineStr">
        <is>
          <t>Chỉ chỉ huy trưởng</t>
        </is>
      </c>
      <c r="G4" s="8" t="inlineStr">
        <is>
          <t>Tất cả mọi người</t>
        </is>
      </c>
      <c r="H4" s="8" t="inlineStr"/>
      <c r="I4" s="8" t="inlineStr">
        <is>
          <t>C</t>
        </is>
      </c>
      <c r="J4" s="8" t="inlineStr">
        <is>
          <t>An toàn là trách nhiệm của mỗi người.</t>
        </is>
      </c>
    </row>
    <row r="5">
      <c r="A5" s="8" t="inlineStr">
        <is>
          <t>POPUP</t>
        </is>
      </c>
      <c r="B5" s="8" t="n">
        <v>2</v>
      </c>
      <c r="C5" s="15" t="inlineStr">
        <is>
          <t>00:25</t>
        </is>
      </c>
      <c r="D5" s="8" t="inlineStr">
        <is>
          <t>Mũ bảo hộ cần được đội như thế nào?</t>
        </is>
      </c>
      <c r="E5" s="8" t="inlineStr">
        <is>
          <t>Đội lỏng cho thoải mái</t>
        </is>
      </c>
      <c r="F5" s="8" t="inlineStr">
        <is>
          <t>Cài quai cằm chắc chắn</t>
        </is>
      </c>
      <c r="G5" s="8" t="inlineStr">
        <is>
          <t>Chỉ đội khi có người kiểm tra</t>
        </is>
      </c>
      <c r="H5" s="8" t="inlineStr"/>
      <c r="I5" s="8" t="inlineStr">
        <is>
          <t>B</t>
        </is>
      </c>
      <c r="J5" s="8" t="inlineStr"/>
    </row>
    <row r="6">
      <c r="A6" s="8" t="inlineStr">
        <is>
          <t>POPUP</t>
        </is>
      </c>
      <c r="B6" s="8" t="n">
        <v>3</v>
      </c>
      <c r="C6" s="15" t="inlineStr">
        <is>
          <t>00:30</t>
        </is>
      </c>
      <c r="D6" s="8" t="inlineStr">
        <is>
          <t>Khi phát hiện mối nguy, việc đầu tiên nên làm là gì?</t>
        </is>
      </c>
      <c r="E6" s="8" t="inlineStr">
        <is>
          <t>Tiếp tục làm việc</t>
        </is>
      </c>
      <c r="F6" s="8" t="inlineStr">
        <is>
          <t>Báo ngay cho người phụ trách</t>
        </is>
      </c>
      <c r="G6" s="8" t="inlineStr">
        <is>
          <t>Tự xử lý một mình</t>
        </is>
      </c>
      <c r="H6" s="8" t="inlineStr"/>
      <c r="I6" s="8" t="inlineStr">
        <is>
          <t>B</t>
        </is>
      </c>
      <c r="J6" s="8" t="inlineStr"/>
    </row>
    <row r="7">
      <c r="A7" s="8" t="inlineStr">
        <is>
          <t>CUOI KHOA</t>
        </is>
      </c>
      <c r="B7" s="8" t="inlineStr"/>
      <c r="C7" s="15" t="inlineStr"/>
      <c r="D7" s="8" t="inlineStr">
        <is>
          <t>Mục đích chính của trang bị bảo hộ cá nhân là gì?</t>
        </is>
      </c>
      <c r="E7" s="8" t="inlineStr">
        <is>
          <t>Làm đẹp đồng phục</t>
        </is>
      </c>
      <c r="F7" s="8" t="inlineStr">
        <is>
          <t>Giảm nguy cơ chấn thương</t>
        </is>
      </c>
      <c r="G7" s="8" t="inlineStr">
        <is>
          <t>Thay thế biện pháp quản lý</t>
        </is>
      </c>
      <c r="H7" s="8" t="inlineStr"/>
      <c r="I7" s="8" t="inlineStr">
        <is>
          <t>B</t>
        </is>
      </c>
      <c r="J7" s="8" t="inlineStr">
        <is>
          <t>PPE là lớp bảo vệ cuối cùng, giúp giảm nguy cơ chấn thương.</t>
        </is>
      </c>
    </row>
    <row r="8">
      <c r="A8" s="8" t="inlineStr">
        <is>
          <t>CUOI KHOA</t>
        </is>
      </c>
      <c r="B8" s="8" t="inlineStr"/>
      <c r="C8" s="15" t="inlineStr"/>
      <c r="D8" s="8" t="inlineStr">
        <is>
          <t>Khi thấy đồng nghiệp không đội mũ bảo hộ, bạn nên làm gì?</t>
        </is>
      </c>
      <c r="E8" s="8" t="inlineStr">
        <is>
          <t>Im lặng</t>
        </is>
      </c>
      <c r="F8" s="8" t="inlineStr">
        <is>
          <t>Nhắc nhở ngay</t>
        </is>
      </c>
      <c r="G8" s="8" t="inlineStr">
        <is>
          <t>Chụp ảnh đăng mạng xã hội</t>
        </is>
      </c>
      <c r="H8" s="8" t="inlineStr">
        <is>
          <t>Báo cáo sau một tuần</t>
        </is>
      </c>
      <c r="I8" s="8" t="inlineStr">
        <is>
          <t>B</t>
        </is>
      </c>
      <c r="J8" s="8" t="inlineStr"/>
    </row>
    <row r="9">
      <c r="A9" s="8" t="inlineStr">
        <is>
          <t>CUOI KHOA</t>
        </is>
      </c>
      <c r="B9" s="8" t="inlineStr"/>
      <c r="C9" s="15" t="inlineStr"/>
      <c r="D9" s="8" t="inlineStr">
        <is>
          <t>Phát hiện dây điện bị hở trên lối đi, bạn nên làm gì trước tiên?</t>
        </is>
      </c>
      <c r="E9" s="8" t="inlineStr">
        <is>
          <t>Bước qua và đi tiếp</t>
        </is>
      </c>
      <c r="F9" s="8" t="inlineStr">
        <is>
          <t>Rào chắn khu vực và báo người phụ trách</t>
        </is>
      </c>
      <c r="G9" s="8" t="inlineStr">
        <is>
          <t>Tự nối lại dây điện</t>
        </is>
      </c>
      <c r="H9" s="8" t="inlineStr"/>
      <c r="I9" s="8" t="inlineStr">
        <is>
          <t>B</t>
        </is>
      </c>
      <c r="J9" s="8" t="inlineStr"/>
    </row>
    <row r="10">
      <c r="A10" s="8" t="inlineStr">
        <is>
          <t>CUOI KHOA</t>
        </is>
      </c>
      <c r="B10" s="8" t="inlineStr"/>
      <c r="C10" s="15" t="inlineStr"/>
      <c r="D10" s="8" t="inlineStr">
        <is>
          <t>An toàn lao động là trách nhiệm của ai?</t>
        </is>
      </c>
      <c r="E10" s="8" t="inlineStr">
        <is>
          <t>Riêng bộ phận an toàn</t>
        </is>
      </c>
      <c r="F10" s="8" t="inlineStr">
        <is>
          <t>Riêng ban chỉ huy</t>
        </is>
      </c>
      <c r="G10" s="8" t="inlineStr">
        <is>
          <t>Mọi người trên công trường</t>
        </is>
      </c>
      <c r="H10" s="8" t="inlineStr"/>
      <c r="I10" s="8" t="inlineStr">
        <is>
          <t>C</t>
        </is>
      </c>
      <c r="J10" s="8" t="inlineStr"/>
    </row>
    <row r="11">
      <c r="A11" s="8" t="inlineStr">
        <is>
          <t>CUOI KHOA</t>
        </is>
      </c>
      <c r="B11" s="8" t="inlineStr"/>
      <c r="C11" s="15" t="inlineStr"/>
      <c r="D11" s="8" t="inlineStr">
        <is>
          <t>Trước khi bắt đầu ca làm việc, bạn nên làm gì?</t>
        </is>
      </c>
      <c r="E11" s="8" t="inlineStr">
        <is>
          <t>Kiểm tra trang bị bảo hộ và khu vực làm việc</t>
        </is>
      </c>
      <c r="F11" s="8" t="inlineStr">
        <is>
          <t>Bắt đầu ngay để kịp tiến độ</t>
        </is>
      </c>
      <c r="G11" s="8" t="inlineStr">
        <is>
          <t>Chờ có người nhắc</t>
        </is>
      </c>
      <c r="H11" s="8" t="inlineStr"/>
      <c r="I11" s="8" t="inlineStr">
        <is>
          <t>A</t>
        </is>
      </c>
      <c r="J11" s="8" t="inlineStr"/>
    </row>
    <row r="12">
      <c r="A12" s="8" t="inlineStr">
        <is>
          <t>CUOI KHOA</t>
        </is>
      </c>
      <c r="B12" s="8" t="inlineStr"/>
      <c r="C12" s="15" t="inlineStr"/>
      <c r="D12" s="8" t="inlineStr">
        <is>
          <t>Khi không chắc chắn về quy trình an toàn của một công việc, bạn nên?</t>
        </is>
      </c>
      <c r="E12" s="8" t="inlineStr">
        <is>
          <t>Làm theo cách mình nghĩ</t>
        </is>
      </c>
      <c r="F12" s="8" t="inlineStr">
        <is>
          <t>Hỏi người phụ trách trước khi làm</t>
        </is>
      </c>
      <c r="G12" s="8" t="inlineStr">
        <is>
          <t>Bỏ qua bước không rõ</t>
        </is>
      </c>
      <c r="H12" s="8" t="inlineStr"/>
      <c r="I12" s="8" t="inlineStr">
        <is>
          <t>B</t>
        </is>
      </c>
      <c r="J12" s="8" t="inlineStr"/>
    </row>
    <row r="13">
      <c r="A13" s="6" t="n"/>
      <c r="B13" s="6" t="n"/>
      <c r="C13" s="1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1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1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1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1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1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1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1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1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1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1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1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1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1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1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1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1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1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1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1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1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1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1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1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1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1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1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1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1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1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1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1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1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1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1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1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1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1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1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1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1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1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1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1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1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1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1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1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1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1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1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1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1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1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1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1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1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1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1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1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1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1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1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1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1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1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1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1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1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1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1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1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1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1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1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1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1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1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1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1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1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1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1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1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1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1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1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1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1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1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1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1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1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1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1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1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1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1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1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1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1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1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1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1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1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1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1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1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1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1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1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1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1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1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1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1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1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1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1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1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1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1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1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1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1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1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1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1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1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1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1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1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1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1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1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1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1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1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1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1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1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1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1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1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1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1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1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1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1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1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1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1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1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1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1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1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1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1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1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1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1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1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1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1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1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1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1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1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1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1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1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1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1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1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1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1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1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1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1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1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1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1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1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1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1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1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1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1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1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1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1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1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1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1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1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1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1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1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1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1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1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1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1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1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1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1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1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1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1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1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1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1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1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1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1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1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1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1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1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1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1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1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1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1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1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1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1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1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1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1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1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1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1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1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1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1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1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1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1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1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1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1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1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1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1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1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1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1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1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1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1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1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1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1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1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1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1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1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1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1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1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1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1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1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1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1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1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1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1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1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1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1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1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1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1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1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1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1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1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1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1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1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1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1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1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1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16" t="n"/>
      <c r="D299" s="6" t="n"/>
      <c r="E299" s="6" t="n"/>
      <c r="F299" s="6" t="n"/>
      <c r="G299" s="6" t="n"/>
      <c r="H299" s="6" t="n"/>
      <c r="I299" s="6" t="n"/>
      <c r="J299" s="6" t="n"/>
    </row>
  </sheetData>
  <dataValidations count="2">
    <dataValidation sqref="A3:A2000" showDropDown="0" showInputMessage="0" showErrorMessage="0" allowBlank="1" type="list">
      <formula1>"POPUP,CUOI KHOA"</formula1>
    </dataValidation>
    <dataValidation sqref="I3:I20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2026-10-27T08:48:36Z</dcterms:created>
  <dcterms:modified xmlns:dcterms="http://purl.org/dc/terms/" xmlns:xsi="http://www.w3.org/2001/XMLSchema-instance" xsi:type="dcterms:W3CDTF">2026-10-27T08:48:36Z</dcterms:modified>
</cp:coreProperties>
</file>